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ircuito_Cerrado" sheetId="2" state="visible" r:id="rId2"/>
    <sheet name="Escenarios_Cer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4" customWidth="1" min="3" max="3"/>
    <col width="18" customWidth="1" min="4" max="4"/>
  </cols>
  <sheetData>
    <row r="1">
      <c r="A1" s="1" t="inlineStr">
        <is>
          <t>Modelo cerrado: salario, demanda y ganancia</t>
        </is>
      </c>
    </row>
    <row r="3">
      <c r="A3" s="2" t="inlineStr">
        <is>
          <t>Punto central</t>
        </is>
      </c>
      <c r="B3" s="3" t="n"/>
      <c r="C3" s="3" t="n"/>
      <c r="D3" s="3" t="n"/>
    </row>
    <row r="4">
      <c r="A4" s="3" t="inlineStr">
        <is>
          <t>Si los trabajadores son los unicos compradores y su unico ingreso son los salarios pagados por la misma empresa, la demanda total de los trabajadores no puede exceder la masa salarial.</t>
        </is>
      </c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2" t="inlineStr">
        <is>
          <t>Identidad clave</t>
        </is>
      </c>
      <c r="B6" s="3" t="n"/>
      <c r="C6" s="3" t="n"/>
      <c r="D6" s="3" t="n"/>
    </row>
    <row r="7">
      <c r="A7" s="3" t="inlineStr">
        <is>
          <t>Demanda maxima de trabajadores</t>
        </is>
      </c>
      <c r="B7" s="3" t="inlineStr">
        <is>
          <t>gasto_trabajadores &lt;= masa_salarial</t>
        </is>
      </c>
      <c r="C7" s="3" t="n"/>
      <c r="D7" s="3" t="n"/>
    </row>
    <row r="8">
      <c r="A8" s="3" t="inlineStr">
        <is>
          <t>Ingreso maximo por ventas solo a trabajadores</t>
        </is>
      </c>
      <c r="B8" s="3" t="inlineStr">
        <is>
          <t>ingresos &lt;= masa_salarial</t>
        </is>
      </c>
      <c r="C8" s="3" t="n"/>
      <c r="D8" s="3" t="n"/>
    </row>
    <row r="9">
      <c r="A9" s="3" t="inlineStr">
        <is>
          <t>Ganancia con solo trabajadores comprando</t>
        </is>
      </c>
      <c r="B9" s="3" t="inlineStr">
        <is>
          <t>ganancia &lt;= masa_salarial - masa_salarial - otros_costos - costos_fijos</t>
        </is>
      </c>
      <c r="C9" s="3">
        <f>&gt; &lt;= -(otros_costos + costos_fijos)</f>
        <v/>
      </c>
      <c r="D9" s="3" t="n"/>
    </row>
    <row r="10">
      <c r="A10" s="3" t="n"/>
      <c r="B10" s="3" t="n"/>
      <c r="C10" s="3" t="n"/>
      <c r="D10" s="3" t="n"/>
    </row>
    <row r="11">
      <c r="A11" s="2" t="inlineStr">
        <is>
          <t>Conclusion</t>
        </is>
      </c>
      <c r="B11" s="3" t="n"/>
      <c r="C11" s="3" t="n"/>
      <c r="D11" s="3" t="n"/>
    </row>
    <row r="12">
      <c r="A12" s="3" t="inlineStr">
        <is>
          <t>Tu hipotesis SI es correcta para el caso extremo mas puro: 1 empresa, 1 bien, trabajadores como unicos compradores, sin credito, sin inversion, sin consumo capitalista ni otra fuente de demanda.</t>
        </is>
      </c>
      <c r="B12" s="3" t="n"/>
      <c r="C12" s="3" t="n"/>
      <c r="D12" s="3" t="n"/>
    </row>
    <row r="13">
      <c r="A13" s="3" t="inlineStr">
        <is>
          <t>Para que exista ganancia monetaria realizada, tiene que entrar alguna otra demanda: consumo capitalista, inversion, gasto publico, credito, exportaciones o un circuito mas complejo de varias firmas.</t>
        </is>
      </c>
      <c r="B13" s="3" t="n"/>
      <c r="C13" s="3" t="n"/>
      <c r="D13" s="3" t="n"/>
    </row>
  </sheetData>
  <mergeCells count="4">
    <mergeCell ref="A1:D1"/>
    <mergeCell ref="A12:D12"/>
    <mergeCell ref="A4:D4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</cols>
  <sheetData>
    <row r="1">
      <c r="A1" s="4" t="inlineStr">
        <is>
          <t>Entradas</t>
        </is>
      </c>
      <c r="B1" s="5" t="n"/>
      <c r="C1" s="5" t="n"/>
    </row>
    <row r="2">
      <c r="A2" s="3" t="inlineStr">
        <is>
          <t>Trabajadores (N)</t>
        </is>
      </c>
      <c r="B2" s="6" t="n">
        <v>3</v>
      </c>
      <c r="C2" s="3" t="inlineStr">
        <is>
          <t>numero de trabajadores contratados</t>
        </is>
      </c>
    </row>
    <row r="3">
      <c r="A3" s="3" t="inlineStr">
        <is>
          <t>Productividad por trabajador (A)</t>
        </is>
      </c>
      <c r="B3" s="6" t="n">
        <v>3</v>
      </c>
      <c r="C3" s="3" t="inlineStr">
        <is>
          <t>unidades producidas por trabajador</t>
        </is>
      </c>
    </row>
    <row r="4">
      <c r="A4" s="3" t="inlineStr">
        <is>
          <t>Unidades necesarias por trabajador (n)</t>
        </is>
      </c>
      <c r="B4" s="6" t="n">
        <v>3</v>
      </c>
      <c r="C4" s="3" t="inlineStr">
        <is>
          <t>canasta minima por trabajador</t>
        </is>
      </c>
    </row>
    <row r="5">
      <c r="A5" s="3" t="inlineStr">
        <is>
          <t>Salario por trabajador (w)</t>
        </is>
      </c>
      <c r="B5" s="6" t="n">
        <v>6</v>
      </c>
      <c r="C5" s="3" t="inlineStr">
        <is>
          <t>moneda por trabajador</t>
        </is>
      </c>
    </row>
    <row r="6">
      <c r="A6" s="3" t="inlineStr">
        <is>
          <t>Precio por bien (p)</t>
        </is>
      </c>
      <c r="B6" s="6" t="n">
        <v>2</v>
      </c>
      <c r="C6" s="3" t="inlineStr">
        <is>
          <t>precio de venta</t>
        </is>
      </c>
    </row>
    <row r="7">
      <c r="A7" s="3" t="inlineStr">
        <is>
          <t>Propension a gastar salario (s)</t>
        </is>
      </c>
      <c r="B7" s="6" t="n">
        <v>1</v>
      </c>
      <c r="C7" s="3" t="inlineStr">
        <is>
          <t>1 = gastan todo el salario</t>
        </is>
      </c>
    </row>
    <row r="8">
      <c r="A8" s="3" t="inlineStr">
        <is>
          <t>Otros costos por unidad (c)</t>
        </is>
      </c>
      <c r="B8" s="6" t="n">
        <v>0.2</v>
      </c>
      <c r="C8" s="3" t="inlineStr">
        <is>
          <t>insumos, transporte, etc.</t>
        </is>
      </c>
    </row>
    <row r="9">
      <c r="A9" s="3" t="inlineStr">
        <is>
          <t>Costo fijo total (F)</t>
        </is>
      </c>
      <c r="B9" s="6" t="n">
        <v>1</v>
      </c>
      <c r="C9" s="3" t="inlineStr">
        <is>
          <t>costo fijo del periodo</t>
        </is>
      </c>
    </row>
    <row r="10">
      <c r="A10" s="3" t="inlineStr">
        <is>
          <t>Demanda capitalista (valor)</t>
        </is>
      </c>
      <c r="B10" s="6" t="n">
        <v>0</v>
      </c>
      <c r="C10" s="3" t="inlineStr">
        <is>
          <t>consumo del capitalista</t>
        </is>
      </c>
    </row>
    <row r="11">
      <c r="A11" s="3" t="inlineStr">
        <is>
          <t>Demanda por inversion (valor)</t>
        </is>
      </c>
      <c r="B11" s="6" t="n">
        <v>0</v>
      </c>
      <c r="C11" s="3" t="inlineStr">
        <is>
          <t>compra para expandir capital o inventario</t>
        </is>
      </c>
    </row>
    <row r="12">
      <c r="A12" s="5" t="n"/>
      <c r="B12" s="5" t="n"/>
      <c r="C12" s="5" t="n"/>
    </row>
    <row r="13">
      <c r="A13" s="4" t="inlineStr">
        <is>
          <t>Resultados</t>
        </is>
      </c>
      <c r="B13" s="5" t="n"/>
      <c r="C13" s="5" t="n"/>
    </row>
    <row r="14">
      <c r="A14" s="3" t="inlineStr">
        <is>
          <t>Produccion total (Q)</t>
        </is>
      </c>
      <c r="B14" s="7">
        <f>B2*B3</f>
        <v/>
      </c>
      <c r="C14" s="3" t="inlineStr">
        <is>
          <t>Q = N * A</t>
        </is>
      </c>
    </row>
    <row r="15">
      <c r="A15" s="3" t="inlineStr">
        <is>
          <t>Canasta total necesaria</t>
        </is>
      </c>
      <c r="B15" s="7">
        <f>B2*B4</f>
        <v/>
      </c>
      <c r="C15" s="3" t="inlineStr">
        <is>
          <t>unidades minimas que necesitan los trabajadores</t>
        </is>
      </c>
    </row>
    <row r="16">
      <c r="A16" s="3" t="inlineStr">
        <is>
          <t>Masa salarial total (W)</t>
        </is>
      </c>
      <c r="B16" s="7">
        <f>B2*B5</f>
        <v/>
      </c>
      <c r="C16" s="3" t="inlineStr">
        <is>
          <t>W = N * w</t>
        </is>
      </c>
    </row>
    <row r="17">
      <c r="A17" s="3" t="inlineStr">
        <is>
          <t>Valor de la canasta obrera</t>
        </is>
      </c>
      <c r="B17" s="7">
        <f>B15*B6</f>
        <v/>
      </c>
      <c r="C17" s="3" t="inlineStr">
        <is>
          <t>costo monetario de la canasta de todos los trabajadores</t>
        </is>
      </c>
    </row>
    <row r="18">
      <c r="A18" s="3" t="inlineStr">
        <is>
          <t>Los trabajadores pueden comprar su canasta?</t>
        </is>
      </c>
      <c r="B18" s="7">
        <f>IF(B17&gt;=B18,"SI","NO")</f>
        <v/>
      </c>
      <c r="C18" s="3" t="inlineStr"/>
    </row>
    <row r="19">
      <c r="A19" s="3" t="inlineStr">
        <is>
          <t>Demanda de trabajadores (valor)</t>
        </is>
      </c>
      <c r="B19" s="7">
        <f>B17*B7</f>
        <v/>
      </c>
      <c r="C19" s="3" t="inlineStr">
        <is>
          <t>si gastan todo, coincide con W</t>
        </is>
      </c>
    </row>
    <row r="20">
      <c r="A20" s="3" t="inlineStr">
        <is>
          <t>Demanda total (valor)</t>
        </is>
      </c>
      <c r="B20" s="7">
        <f>B20+B10+B11</f>
        <v/>
      </c>
      <c r="C20" s="3" t="inlineStr">
        <is>
          <t>trabajadores + capitalista + inversion</t>
        </is>
      </c>
    </row>
    <row r="21">
      <c r="A21" s="3" t="inlineStr">
        <is>
          <t>Demanda total (unidades)</t>
        </is>
      </c>
      <c r="B21" s="7">
        <f>B21/B6</f>
        <v/>
      </c>
      <c r="C21" s="3" t="inlineStr">
        <is>
          <t>demanda monetaria / precio</t>
        </is>
      </c>
    </row>
    <row r="22">
      <c r="A22" s="3" t="inlineStr">
        <is>
          <t>Ventas realizadas (unidades)</t>
        </is>
      </c>
      <c r="B22" s="7">
        <f>MIN(B14,B22)</f>
        <v/>
      </c>
      <c r="C22" s="3" t="inlineStr">
        <is>
          <t>no puede vender mas de lo que produce</t>
        </is>
      </c>
    </row>
    <row r="23">
      <c r="A23" s="3" t="inlineStr">
        <is>
          <t>Ingresos por ventas</t>
        </is>
      </c>
      <c r="B23" s="7">
        <f>B23*B6</f>
        <v/>
      </c>
      <c r="C23" s="3" t="inlineStr">
        <is>
          <t>revenue</t>
        </is>
      </c>
    </row>
    <row r="24">
      <c r="A24" s="3" t="inlineStr">
        <is>
          <t>Costo laboral total</t>
        </is>
      </c>
      <c r="B24" s="7">
        <f>B17</f>
        <v/>
      </c>
      <c r="C24" s="3" t="inlineStr"/>
    </row>
    <row r="25">
      <c r="A25" s="3" t="inlineStr">
        <is>
          <t>Otros costos totales</t>
        </is>
      </c>
      <c r="B25" s="7">
        <f>B14*B8</f>
        <v/>
      </c>
      <c r="C25" s="3" t="inlineStr">
        <is>
          <t>costo unitario * produccion</t>
        </is>
      </c>
    </row>
    <row r="26">
      <c r="A26" s="3" t="inlineStr">
        <is>
          <t>Costo total</t>
        </is>
      </c>
      <c r="B26" s="7">
        <f>B25+B26+B9</f>
        <v/>
      </c>
      <c r="C26" s="3" t="inlineStr"/>
    </row>
    <row r="27">
      <c r="A27" s="3" t="inlineStr">
        <is>
          <t>Ganancia</t>
        </is>
      </c>
      <c r="B27" s="7">
        <f>B24-B27</f>
        <v/>
      </c>
      <c r="C27" s="3" t="inlineStr"/>
    </row>
    <row r="28">
      <c r="A28" s="3" t="inlineStr">
        <is>
          <t>Inventario no vendido</t>
        </is>
      </c>
      <c r="B28" s="7">
        <f>MAX(B14-B23,0)</f>
        <v/>
      </c>
      <c r="C28" s="3" t="inlineStr"/>
    </row>
    <row r="29">
      <c r="A29" s="3" t="inlineStr">
        <is>
          <t>Ingreso externo minimo para break-even</t>
        </is>
      </c>
      <c r="B29" s="7">
        <f>MAX(B27-B20,0)</f>
        <v/>
      </c>
      <c r="C29" s="3" t="inlineStr">
        <is>
          <t>demanda extra necesaria mas alla del gasto obrero</t>
        </is>
      </c>
    </row>
    <row r="30">
      <c r="A30" s="3" t="inlineStr">
        <is>
          <t>La empresa gana?</t>
        </is>
      </c>
      <c r="B30" s="7">
        <f>IF(B28&gt;0,"SI","NO")</f>
        <v/>
      </c>
      <c r="C30" s="3" t="inlineStr"/>
    </row>
    <row r="31">
      <c r="A31" s="3" t="inlineStr">
        <is>
          <t>Ambos ganan? (obreros compran canasta y empresa gana)</t>
        </is>
      </c>
      <c r="B31" s="7">
        <f>IF(AND(B19="SI",B30="SI"),"SI","NO")</f>
        <v/>
      </c>
      <c r="C31" s="3" t="inlineStr"/>
    </row>
    <row r="32">
      <c r="A32" s="5" t="n"/>
      <c r="B32" s="5" t="n"/>
      <c r="C32" s="5" t="n"/>
    </row>
    <row r="33">
      <c r="A33" s="4" t="inlineStr">
        <is>
          <t>Lectura economica</t>
        </is>
      </c>
      <c r="B33" s="5" t="n"/>
      <c r="C33" s="5" t="n"/>
    </row>
    <row r="34">
      <c r="A34" s="3" t="inlineStr">
        <is>
          <t>Si Demanda capitalista = 0 e Inversion = 0, la empresa solo vende lo que la masa salarial puede comprar.</t>
        </is>
      </c>
      <c r="B34" s="5" t="n"/>
      <c r="C34" s="5" t="n"/>
    </row>
    <row r="35">
      <c r="A35" s="3" t="inlineStr">
        <is>
          <t>Si ademas hay otros costos o costo fijo, la ganancia monetaria se vuelve imposible en este esquema tan puro.</t>
        </is>
      </c>
      <c r="B35" s="5" t="n"/>
      <c r="C35" s="5" t="n"/>
    </row>
    <row r="36">
      <c r="A36" s="3" t="inlineStr">
        <is>
          <t>Para salir de esa trampa, necesitas otra fuente de demanda o una estructura productiva mas compleja que cierre el circuito de otra forma.</t>
        </is>
      </c>
      <c r="B36" s="5" t="n"/>
      <c r="C36" s="5" t="n"/>
    </row>
  </sheetData>
  <mergeCells count="6">
    <mergeCell ref="A33:C33"/>
    <mergeCell ref="A13:C13"/>
    <mergeCell ref="A36:C36"/>
    <mergeCell ref="A1:C1"/>
    <mergeCell ref="A34:C34"/>
    <mergeCell ref="A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14" customWidth="1" min="10" max="10"/>
    <col width="13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4" t="inlineStr">
        <is>
          <t>Escenarios cerrados comparables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</row>
    <row r="2">
      <c r="A2" s="2" t="inlineStr">
        <is>
          <t>Escenario</t>
        </is>
      </c>
      <c r="B2" s="2" t="inlineStr">
        <is>
          <t>N</t>
        </is>
      </c>
      <c r="C2" s="2" t="inlineStr">
        <is>
          <t>A</t>
        </is>
      </c>
      <c r="D2" s="2" t="inlineStr">
        <is>
          <t>n</t>
        </is>
      </c>
      <c r="E2" s="2" t="inlineStr">
        <is>
          <t>w</t>
        </is>
      </c>
      <c r="F2" s="2" t="inlineStr">
        <is>
          <t>p</t>
        </is>
      </c>
      <c r="G2" s="2" t="inlineStr">
        <is>
          <t>s</t>
        </is>
      </c>
      <c r="H2" s="2" t="inlineStr">
        <is>
          <t>c</t>
        </is>
      </c>
      <c r="I2" s="2" t="inlineStr">
        <is>
          <t>F</t>
        </is>
      </c>
      <c r="J2" s="2" t="inlineStr">
        <is>
          <t>Dem. capitalista</t>
        </is>
      </c>
      <c r="K2" s="2" t="inlineStr">
        <is>
          <t>Dem. inversion</t>
        </is>
      </c>
      <c r="L2" s="2" t="inlineStr">
        <is>
          <t>Masa salarial</t>
        </is>
      </c>
      <c r="M2" s="2" t="inlineStr">
        <is>
          <t>Costo total</t>
        </is>
      </c>
      <c r="N2" s="2" t="inlineStr">
        <is>
          <t>Ganancia</t>
        </is>
      </c>
      <c r="O2" s="2" t="inlineStr">
        <is>
          <t>Ambos ganan?</t>
        </is>
      </c>
    </row>
    <row r="3">
      <c r="A3" s="3" t="inlineStr">
        <is>
          <t>Cierre puro imposible</t>
        </is>
      </c>
      <c r="B3" s="6" t="n">
        <v>3</v>
      </c>
      <c r="C3" s="6" t="n">
        <v>3</v>
      </c>
      <c r="D3" s="6" t="n">
        <v>3</v>
      </c>
      <c r="E3" s="6" t="n">
        <v>6</v>
      </c>
      <c r="F3" s="6" t="n">
        <v>2</v>
      </c>
      <c r="G3" s="6" t="n">
        <v>1</v>
      </c>
      <c r="H3" s="6" t="n">
        <v>0.2</v>
      </c>
      <c r="I3" s="6" t="n">
        <v>1</v>
      </c>
      <c r="J3" s="6" t="n">
        <v>0</v>
      </c>
      <c r="K3" s="6" t="n">
        <v>0</v>
      </c>
      <c r="L3" s="7">
        <f>B3*E3</f>
        <v/>
      </c>
      <c r="M3" s="7">
        <f>L3 + (B3*C3*H3) + I3</f>
        <v/>
      </c>
      <c r="N3" s="7">
        <f>MIN(B3*C3,((L3*G3)+J3+K3)/F3)*F3-M3</f>
        <v/>
      </c>
      <c r="O3" s="7">
        <f>IF(AND(L3&gt;=B3*D3*F3,N3&gt;0),"SI","NO")</f>
        <v/>
      </c>
    </row>
    <row r="4">
      <c r="A4" s="3" t="inlineStr">
        <is>
          <t>Sale por consumo capitalista</t>
        </is>
      </c>
      <c r="B4" s="6" t="n">
        <v>3</v>
      </c>
      <c r="C4" s="6" t="n">
        <v>4</v>
      </c>
      <c r="D4" s="6" t="n">
        <v>3</v>
      </c>
      <c r="E4" s="6" t="n">
        <v>6</v>
      </c>
      <c r="F4" s="6" t="n">
        <v>2</v>
      </c>
      <c r="G4" s="6" t="n">
        <v>1</v>
      </c>
      <c r="H4" s="6" t="n">
        <v>0.2</v>
      </c>
      <c r="I4" s="6" t="n">
        <v>1</v>
      </c>
      <c r="J4" s="6" t="n">
        <v>6</v>
      </c>
      <c r="K4" s="6" t="n">
        <v>0</v>
      </c>
      <c r="L4" s="7">
        <f>B4*E4</f>
        <v/>
      </c>
      <c r="M4" s="7">
        <f>L4 + (B4*C4*H4) + I4</f>
        <v/>
      </c>
      <c r="N4" s="7">
        <f>MIN(B4*C4,((L4*G4)+J4+K4)/F4)*F4-M4</f>
        <v/>
      </c>
      <c r="O4" s="7">
        <f>IF(AND(L4&gt;=B4*D4*F4,N4&gt;0),"SI","NO")</f>
        <v/>
      </c>
    </row>
    <row r="5">
      <c r="A5" s="3" t="inlineStr">
        <is>
          <t>Sale por inversion</t>
        </is>
      </c>
      <c r="B5" s="6" t="n">
        <v>3</v>
      </c>
      <c r="C5" s="6" t="n">
        <v>4</v>
      </c>
      <c r="D5" s="6" t="n">
        <v>3</v>
      </c>
      <c r="E5" s="6" t="n">
        <v>6</v>
      </c>
      <c r="F5" s="6" t="n">
        <v>2</v>
      </c>
      <c r="G5" s="6" t="n">
        <v>1</v>
      </c>
      <c r="H5" s="6" t="n">
        <v>0.2</v>
      </c>
      <c r="I5" s="6" t="n">
        <v>1</v>
      </c>
      <c r="J5" s="6" t="n">
        <v>0</v>
      </c>
      <c r="K5" s="6" t="n">
        <v>6</v>
      </c>
      <c r="L5" s="7">
        <f>B5*E5</f>
        <v/>
      </c>
      <c r="M5" s="7">
        <f>L5 + (B5*C5*H5) + I5</f>
        <v/>
      </c>
      <c r="N5" s="7">
        <f>MIN(B5*C5,((L5*G5)+J5+K5)/F5)*F5-M5</f>
        <v/>
      </c>
      <c r="O5" s="7">
        <f>IF(AND(L5&gt;=B5*D5*F5,N5&gt;0),"SI","NO")</f>
        <v/>
      </c>
    </row>
    <row r="6">
      <c r="A6" s="3" t="inlineStr">
        <is>
          <t>No alcanza salario</t>
        </is>
      </c>
      <c r="B6" s="6" t="n">
        <v>3</v>
      </c>
      <c r="C6" s="6" t="n">
        <v>4</v>
      </c>
      <c r="D6" s="6" t="n">
        <v>3</v>
      </c>
      <c r="E6" s="6" t="n">
        <v>4</v>
      </c>
      <c r="F6" s="6" t="n">
        <v>2</v>
      </c>
      <c r="G6" s="6" t="n">
        <v>1</v>
      </c>
      <c r="H6" s="6" t="n">
        <v>0.2</v>
      </c>
      <c r="I6" s="6" t="n">
        <v>1</v>
      </c>
      <c r="J6" s="6" t="n">
        <v>6</v>
      </c>
      <c r="K6" s="6" t="n">
        <v>0</v>
      </c>
      <c r="L6" s="7">
        <f>B6*E6</f>
        <v/>
      </c>
      <c r="M6" s="7">
        <f>L6 + (B6*C6*H6) + I6</f>
        <v/>
      </c>
      <c r="N6" s="7">
        <f>MIN(B6*C6,((L6*G6)+J6+K6)/F6)*F6-M6</f>
        <v/>
      </c>
      <c r="O6" s="7">
        <f>IF(AND(L6&gt;=B6*D6*F6,N6&gt;0),"SI","NO")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2026-03-30T03:34:19Z</dcterms:created>
  <dcterms:modified xsi:type="dcterms:W3CDTF">2026-03-30T03:34:19Z</dcterms:modified>
</cp:coreProperties>
</file>