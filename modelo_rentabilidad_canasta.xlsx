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odelo_1_bien" sheetId="2" state="visible" r:id="rId2"/>
    <sheet name="E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45" customWidth="1" min="3" max="3"/>
    <col width="18" customWidth="1" min="4" max="4"/>
  </cols>
  <sheetData>
    <row r="1">
      <c r="A1" s="1" t="inlineStr">
        <is>
          <t>Modelo simple: salario, precio y ganancia en economia cerrada</t>
        </is>
      </c>
      <c r="B1" s="2" t="n"/>
      <c r="C1" s="2" t="n"/>
      <c r="D1" s="2" t="n"/>
    </row>
    <row r="2">
      <c r="A2" s="3" t="inlineStr">
        <is>
          <t>Idea central</t>
        </is>
      </c>
      <c r="B2" s="3" t="n"/>
      <c r="C2" s="3" t="n"/>
      <c r="D2" s="3" t="n"/>
    </row>
    <row r="3">
      <c r="A3" s="3" t="inlineStr">
        <is>
          <t>Si el techo asequible de la familia es mayor o igual que el piso rentable de la empresa, ambos pueden ganar al mismo tiempo.</t>
        </is>
      </c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1" t="inlineStr">
        <is>
          <t>Formulas clave</t>
        </is>
      </c>
      <c r="B5" s="2" t="n"/>
      <c r="C5" s="2" t="n"/>
      <c r="D5" s="2" t="n"/>
    </row>
    <row r="6">
      <c r="A6" s="3" t="inlineStr">
        <is>
          <t>Piso rentable</t>
        </is>
      </c>
      <c r="B6" s="3" t="inlineStr">
        <is>
          <t>precio minimo que cubre costo laboral unitario + otros costos unitarios + costo fijo unitario</t>
        </is>
      </c>
      <c r="C6" s="3" t="n"/>
      <c r="D6" s="3" t="n"/>
    </row>
    <row r="7">
      <c r="A7" s="3" t="inlineStr">
        <is>
          <t>Techo asequible</t>
        </is>
      </c>
      <c r="B7" s="3" t="inlineStr">
        <is>
          <t>ingreso disponible del hogar dividido entre unidades necesarias de la canasta</t>
        </is>
      </c>
      <c r="C7" s="3" t="n"/>
      <c r="D7" s="3" t="n"/>
    </row>
    <row r="8">
      <c r="A8" s="3" t="inlineStr">
        <is>
          <t>Condicion de compatibilidad</t>
        </is>
      </c>
      <c r="B8" s="3" t="inlineStr">
        <is>
          <t>techo asequible - piso rentable</t>
        </is>
      </c>
      <c r="C8" s="3" t="inlineStr">
        <is>
          <t>Si es &gt;= 0, existe un rango donde la empresa gana y la familia compra.</t>
        </is>
      </c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1" t="inlineStr">
        <is>
          <t>Como leerlo</t>
        </is>
      </c>
      <c r="B11" s="2" t="n"/>
      <c r="C11" s="2" t="n"/>
      <c r="D11" s="2" t="n"/>
    </row>
    <row r="12">
      <c r="A12" s="3" t="inlineStr">
        <is>
          <t>1.</t>
        </is>
      </c>
      <c r="B12" s="3" t="inlineStr">
        <is>
          <t>Edita la hoja Modelo_1_bien.</t>
        </is>
      </c>
      <c r="C12" s="3" t="n"/>
      <c r="D12" s="3" t="n"/>
    </row>
    <row r="13">
      <c r="A13" s="3" t="inlineStr">
        <is>
          <t>2.</t>
        </is>
      </c>
      <c r="B13" s="3" t="inlineStr">
        <is>
          <t>Mira si el gap de compatibilidad es positivo o negativo.</t>
        </is>
      </c>
      <c r="C13" s="3" t="n"/>
      <c r="D13" s="3" t="n"/>
    </row>
    <row r="14">
      <c r="A14" s="3" t="inlineStr">
        <is>
          <t>3.</t>
        </is>
      </c>
      <c r="B14" s="3" t="inlineStr">
        <is>
          <t>Luego revisa la hoja Escenarios para ver casos donde si y donde no existe solapamiento.</t>
        </is>
      </c>
      <c r="C14" s="3" t="n"/>
      <c r="D14" s="3" t="n"/>
    </row>
  </sheetData>
  <mergeCells count="4">
    <mergeCell ref="A1:D1"/>
    <mergeCell ref="A3:D3"/>
    <mergeCell ref="A5:D5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</cols>
  <sheetData>
    <row r="1">
      <c r="A1" s="1" t="inlineStr">
        <is>
          <t>Entradas</t>
        </is>
      </c>
      <c r="B1" s="2" t="n"/>
      <c r="C1" s="2" t="n"/>
    </row>
    <row r="2">
      <c r="A2" s="3" t="inlineStr">
        <is>
          <t>Productividad por trabajador (A)</t>
        </is>
      </c>
      <c r="B2" s="4" t="n">
        <v>10</v>
      </c>
      <c r="C2" s="3" t="inlineStr">
        <is>
          <t>unidades por trabajador</t>
        </is>
      </c>
    </row>
    <row r="3">
      <c r="A3" s="3" t="inlineStr">
        <is>
          <t>Salario por trabajador (w)</t>
        </is>
      </c>
      <c r="B3" s="4" t="n">
        <v>12</v>
      </c>
      <c r="C3" s="3" t="inlineStr">
        <is>
          <t>moneda por trabajador</t>
        </is>
      </c>
    </row>
    <row r="4">
      <c r="A4" s="3" t="inlineStr">
        <is>
          <t>Otros costos unitarios (c)</t>
        </is>
      </c>
      <c r="B4" s="4" t="n">
        <v>0.5</v>
      </c>
      <c r="C4" s="3" t="inlineStr">
        <is>
          <t>insumos, transporte, etc.</t>
        </is>
      </c>
    </row>
    <row r="5">
      <c r="A5" s="3" t="inlineStr">
        <is>
          <t>Costo fijo unitario (f)</t>
        </is>
      </c>
      <c r="B5" s="4" t="n">
        <v>0.2</v>
      </c>
      <c r="C5" s="3" t="inlineStr">
        <is>
          <t>fijo repartido por unidad</t>
        </is>
      </c>
    </row>
    <row r="6">
      <c r="A6" s="3" t="inlineStr">
        <is>
          <t>Unidades necesarias de la canasta (n)</t>
        </is>
      </c>
      <c r="B6" s="4" t="n">
        <v>3</v>
      </c>
      <c r="C6" s="3" t="inlineStr">
        <is>
          <t>unidades que necesita el hogar</t>
        </is>
      </c>
    </row>
    <row r="7">
      <c r="A7" s="3" t="inlineStr">
        <is>
          <t>Ingreso disponible del hogar (y)</t>
        </is>
      </c>
      <c r="B7" s="4" t="n">
        <v>12</v>
      </c>
      <c r="C7" s="3" t="inlineStr">
        <is>
          <t>moneda total del hogar</t>
        </is>
      </c>
    </row>
    <row r="8">
      <c r="A8" s="3" t="inlineStr">
        <is>
          <t>Precio de prueba (p)</t>
        </is>
      </c>
      <c r="B8" s="4" t="n">
        <v>2.5</v>
      </c>
      <c r="C8" s="3" t="inlineStr">
        <is>
          <t>precio para evaluar un caso</t>
        </is>
      </c>
    </row>
    <row r="9">
      <c r="A9" s="2" t="n"/>
      <c r="B9" s="2" t="n"/>
      <c r="C9" s="2" t="n"/>
    </row>
    <row r="10">
      <c r="A10" s="1" t="inlineStr">
        <is>
          <t>Resultados</t>
        </is>
      </c>
      <c r="B10" s="2" t="n"/>
      <c r="C10" s="2" t="n"/>
    </row>
    <row r="11">
      <c r="A11" s="3" t="inlineStr">
        <is>
          <t>Costo laboral unitario (w/A)</t>
        </is>
      </c>
      <c r="B11" s="5">
        <f>B3/B2</f>
        <v/>
      </c>
      <c r="C11" s="3" t="inlineStr">
        <is>
          <t>salario por unidad producida</t>
        </is>
      </c>
    </row>
    <row r="12">
      <c r="A12" s="3" t="inlineStr">
        <is>
          <t>Piso rentable</t>
        </is>
      </c>
      <c r="B12" s="5">
        <f>B11+B4+B5</f>
        <v/>
      </c>
      <c r="C12" s="3" t="inlineStr">
        <is>
          <t>precio minimo rentable</t>
        </is>
      </c>
    </row>
    <row r="13">
      <c r="A13" s="3" t="inlineStr">
        <is>
          <t>Techo asequible</t>
        </is>
      </c>
      <c r="B13" s="5">
        <f>B7/B6</f>
        <v/>
      </c>
      <c r="C13" s="3" t="inlineStr">
        <is>
          <t>precio maximo que el hogar puede pagar</t>
        </is>
      </c>
    </row>
    <row r="14">
      <c r="A14" s="3" t="inlineStr">
        <is>
          <t>Gap de compatibilidad</t>
        </is>
      </c>
      <c r="B14" s="5">
        <f>B13-B12</f>
        <v/>
      </c>
      <c r="C14" s="3" t="inlineStr">
        <is>
          <t>si es positivo, ambos pueden ganar</t>
        </is>
      </c>
    </row>
    <row r="15">
      <c r="A15" s="3" t="inlineStr">
        <is>
          <t>Veredicto del sistema</t>
        </is>
      </c>
      <c r="B15" s="5">
        <f>IF(B14&gt;=0,"SI HAY RANGO COMPATIBLE","NO HAY RANGO COMPATIBLE")</f>
        <v/>
      </c>
      <c r="C15" s="3" t="inlineStr"/>
    </row>
    <row r="16">
      <c r="A16" s="3" t="inlineStr">
        <is>
          <t>Margen unitario con precio de prueba</t>
        </is>
      </c>
      <c r="B16" s="5">
        <f>B8-B12</f>
        <v/>
      </c>
      <c r="C16" s="3" t="inlineStr">
        <is>
          <t>ganancia por unidad en ese precio</t>
        </is>
      </c>
    </row>
    <row r="17">
      <c r="A17" s="3" t="inlineStr">
        <is>
          <t>Gasto del hogar con precio de prueba</t>
        </is>
      </c>
      <c r="B17" s="5">
        <f>B8*B6</f>
        <v/>
      </c>
      <c r="C17" s="3" t="inlineStr">
        <is>
          <t>cuanto paga el hogar por la canasta</t>
        </is>
      </c>
    </row>
    <row r="18">
      <c r="A18" s="3" t="inlineStr">
        <is>
          <t>La familia puede comprar?</t>
        </is>
      </c>
      <c r="B18" s="5">
        <f>IF(B17&lt;=B13,"SI","NO")</f>
        <v/>
      </c>
      <c r="C18" s="3" t="inlineStr"/>
    </row>
    <row r="19">
      <c r="A19" s="3" t="inlineStr">
        <is>
          <t>La empresa gana con ese precio?</t>
        </is>
      </c>
      <c r="B19" s="5">
        <f>IF(B16&gt;=0,"SI","NO")</f>
        <v/>
      </c>
      <c r="C19" s="3" t="inlineStr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1" t="inlineStr">
        <is>
          <t>Interpretacion rapida</t>
        </is>
      </c>
      <c r="B22" s="2" t="n"/>
      <c r="C22" s="2" t="n"/>
    </row>
    <row r="23">
      <c r="A23" s="3" t="inlineStr">
        <is>
          <t>Si subes productividad, baja el costo laboral unitario y aparece mas espacio para que ambos ganen.</t>
        </is>
      </c>
      <c r="B23" s="2" t="n"/>
      <c r="C23" s="2" t="n"/>
    </row>
    <row r="24">
      <c r="A24" s="3" t="inlineStr">
        <is>
          <t>Si subes salario sin subir productividad, el piso rentable sube.</t>
        </is>
      </c>
      <c r="B24" s="2" t="n"/>
      <c r="C24" s="2" t="n"/>
    </row>
    <row r="25">
      <c r="A25" s="3" t="inlineStr">
        <is>
          <t>Si el ingreso del hogar cae, baja el techo asequible.</t>
        </is>
      </c>
      <c r="B25" s="2" t="n"/>
      <c r="C25" s="2" t="n"/>
    </row>
  </sheetData>
  <mergeCells count="6">
    <mergeCell ref="A10:C10"/>
    <mergeCell ref="A25:C25"/>
    <mergeCell ref="A1:C1"/>
    <mergeCell ref="A23:C23"/>
    <mergeCell ref="A22:C22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5" customWidth="1" min="9" max="9"/>
    <col width="12" customWidth="1" min="10" max="10"/>
    <col width="16" customWidth="1" min="11" max="11"/>
    <col width="48" customWidth="1" min="12" max="12"/>
  </cols>
  <sheetData>
    <row r="1">
      <c r="A1" s="1" t="inlineStr">
        <is>
          <t>Escenarios de ejemplo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6" t="inlineStr">
        <is>
          <t>Escenario</t>
        </is>
      </c>
      <c r="B2" s="6" t="inlineStr">
        <is>
          <t>A</t>
        </is>
      </c>
      <c r="C2" s="6" t="inlineStr">
        <is>
          <t>w</t>
        </is>
      </c>
      <c r="D2" s="6" t="inlineStr">
        <is>
          <t>c</t>
        </is>
      </c>
      <c r="E2" s="6" t="inlineStr">
        <is>
          <t>f</t>
        </is>
      </c>
      <c r="F2" s="6" t="inlineStr">
        <is>
          <t>n</t>
        </is>
      </c>
      <c r="G2" s="6" t="inlineStr">
        <is>
          <t>y</t>
        </is>
      </c>
      <c r="H2" s="6" t="inlineStr">
        <is>
          <t>Piso rentable</t>
        </is>
      </c>
      <c r="I2" s="6" t="inlineStr">
        <is>
          <t>Techo asequible</t>
        </is>
      </c>
      <c r="J2" s="6" t="inlineStr">
        <is>
          <t>Gap</t>
        </is>
      </c>
      <c r="K2" s="6" t="inlineStr">
        <is>
          <t>Rango compatible</t>
        </is>
      </c>
      <c r="L2" s="6" t="inlineStr">
        <is>
          <t>Comentario</t>
        </is>
      </c>
    </row>
    <row r="3">
      <c r="A3" s="3" t="inlineStr">
        <is>
          <t>Ambos pueden ganar</t>
        </is>
      </c>
      <c r="B3" s="4" t="n">
        <v>10</v>
      </c>
      <c r="C3" s="4" t="n">
        <v>12</v>
      </c>
      <c r="D3" s="4" t="n">
        <v>0.5</v>
      </c>
      <c r="E3" s="4" t="n">
        <v>0.2</v>
      </c>
      <c r="F3" s="4" t="n">
        <v>3</v>
      </c>
      <c r="G3" s="4" t="n">
        <v>12</v>
      </c>
      <c r="H3" s="5">
        <f>C3/B3+D3+E3</f>
        <v/>
      </c>
      <c r="I3" s="5">
        <f>G3/F3</f>
        <v/>
      </c>
      <c r="J3" s="5">
        <f>I3-H3</f>
        <v/>
      </c>
      <c r="K3" s="5">
        <f>IF(J3&gt;=0,"SI","NO")</f>
        <v/>
      </c>
      <c r="L3" s="3" t="inlineStr">
        <is>
          <t>Productividad suficiente; hay espacio entre piso y techo.</t>
        </is>
      </c>
    </row>
    <row r="4">
      <c r="A4" s="3" t="inlineStr">
        <is>
          <t>No hay solapamiento</t>
        </is>
      </c>
      <c r="B4" s="4" t="n">
        <v>2</v>
      </c>
      <c r="C4" s="4" t="n">
        <v>12</v>
      </c>
      <c r="D4" s="4" t="n">
        <v>1</v>
      </c>
      <c r="E4" s="4" t="n">
        <v>0</v>
      </c>
      <c r="F4" s="4" t="n">
        <v>3</v>
      </c>
      <c r="G4" s="4" t="n">
        <v>12</v>
      </c>
      <c r="H4" s="5">
        <f>C4/B4+D4+E4</f>
        <v/>
      </c>
      <c r="I4" s="5">
        <f>G4/F4</f>
        <v/>
      </c>
      <c r="J4" s="5">
        <f>I4-H4</f>
        <v/>
      </c>
      <c r="K4" s="5">
        <f>IF(J4&gt;=0,"SI","NO")</f>
        <v/>
      </c>
      <c r="L4" s="3" t="inlineStr">
        <is>
          <t>La productividad es demasiado baja para ese salario e ingreso.</t>
        </is>
      </c>
    </row>
    <row r="5">
      <c r="A5" s="3" t="inlineStr">
        <is>
          <t>Productividad rescata</t>
        </is>
      </c>
      <c r="B5" s="4" t="n">
        <v>16</v>
      </c>
      <c r="C5" s="4" t="n">
        <v>14</v>
      </c>
      <c r="D5" s="4" t="n">
        <v>0.6</v>
      </c>
      <c r="E5" s="4" t="n">
        <v>0.3</v>
      </c>
      <c r="F5" s="4" t="n">
        <v>3</v>
      </c>
      <c r="G5" s="4" t="n">
        <v>12</v>
      </c>
      <c r="H5" s="5">
        <f>C5/B5+D5+E5</f>
        <v/>
      </c>
      <c r="I5" s="5">
        <f>G5/F5</f>
        <v/>
      </c>
      <c r="J5" s="5">
        <f>I5-H5</f>
        <v/>
      </c>
      <c r="K5" s="5">
        <f>IF(J5&gt;=0,"SI","NO")</f>
        <v/>
      </c>
      <c r="L5" s="3" t="inlineStr">
        <is>
          <t>El salario es mayor, pero la productividad tambien.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2026-03-30T02:48:50Z</dcterms:created>
  <dcterms:modified xsi:type="dcterms:W3CDTF">2026-03-30T02:48:50Z</dcterms:modified>
</cp:coreProperties>
</file>